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9d945a12c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943381c5ff4de0"/>
    <x:sheet xmlns:r="http://schemas.openxmlformats.org/officeDocument/2006/relationships" name="U7_Strata" sheetId="2" r:id="Rbee9797a351d4f35"/>
    <x:sheet xmlns:r="http://schemas.openxmlformats.org/officeDocument/2006/relationships" name="U8_State" sheetId="3" r:id="R189b44ce32d243db"/>
    <x:sheet xmlns:r="http://schemas.openxmlformats.org/officeDocument/2006/relationships" name="U8_Cycles" sheetId="4" r:id="R708abe0d9fb14cd0"/>
    <x:sheet xmlns:r="http://schemas.openxmlformats.org/officeDocument/2006/relationships" name="U8_Gates" sheetId="5" r:id="R4fe14ad184174ec6"/>
    <x:sheet xmlns:r="http://schemas.openxmlformats.org/officeDocument/2006/relationships" name="Figure_Summary" sheetId="6" r:id="R3b845f906f584a90"/>
    <x:sheet xmlns:r="http://schemas.openxmlformats.org/officeDocument/2006/relationships" name="Sources_Manifest" sheetId="7" r:id="R8717c36cd1d0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0.0000"/>
    <x:numFmt numFmtId="202" formatCode="0.00%"/>
    <x:numFmt numFmtId="203" formatCode="0.0%"/>
    <x:numFmt numFmtId="204" formatCode="0.0"/>
    <x:numFmt numFmtId="205" formatCode="#,##0"/>
    <x:numFmt numFmtId="206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222222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2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3" fontId="4" fillId="0" borderId="10" xfId="0" applyNumberFormat="1" applyFont="1" applyFill="1" applyBorder="1" applyAlignment="1">
      <x:alignment vertical="center"/>
    </x:xf>
    <x:xf numFmtId="203" fontId="4" fillId="0" borderId="11" xfId="0" applyNumberFormat="1" applyFont="1" applyFill="1" applyBorder="1" applyAlignment="1">
      <x:alignment vertical="center"/>
    </x:xf>
    <x:xf numFmtId="203" fontId="4" fillId="0" borderId="12" xfId="0" applyNumberFormat="1" applyFont="1" applyFill="1" applyBorder="1" applyAlignment="1">
      <x:alignment vertical="center"/>
    </x:xf>
    <x:xf numFmtId="204" fontId="4" fillId="0" borderId="10" xfId="0" applyNumberFormat="1" applyFont="1" applyFill="1" applyBorder="1" applyAlignment="1">
      <x:alignment vertical="center"/>
    </x:xf>
    <x:xf numFmtId="204" fontId="4" fillId="0" borderId="11" xfId="0" applyNumberFormat="1" applyFont="1" applyFill="1" applyBorder="1" applyAlignment="1">
      <x:alignment vertical="center"/>
    </x:xf>
    <x:xf numFmtId="204" fontId="4" fillId="0" borderId="1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5" fontId="4" fillId="0" borderId="10" xfId="0" applyNumberFormat="1" applyFont="1" applyFill="1" applyBorder="1" applyAlignment="1">
      <x:alignment vertical="center"/>
    </x:xf>
    <x:xf numFmtId="205" fontId="4" fillId="0" borderId="11" xfId="0" applyNumberFormat="1" applyFont="1" applyFill="1" applyBorder="1" applyAlignment="1">
      <x:alignment vertical="center"/>
    </x:xf>
    <x:xf numFmtId="205" fontId="4" fillId="0" borderId="12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10" xfId="0" applyNumberFormat="1" applyFont="1" applyFill="1" applyBorder="1"/>
    <x:xf numFmtId="0" fontId="3" fillId="4" borderId="3" xfId="0" applyNumberFormat="1" applyFont="1" applyFill="1" applyBorder="1"/>
    <x:xf numFmtId="200" fontId="0" fillId="0" borderId="11" xfId="0" applyNumberFormat="1" applyFont="1" applyFill="1" applyBorder="1"/>
    <x:xf numFmtId="202" fontId="0" fillId="0" borderId="4" xfId="0" applyNumberFormat="1" applyFont="1" applyFill="1" applyBorder="1"/>
    <x:xf numFmtId="0" fontId="3" fillId="4" borderId="5" xfId="0" applyNumberFormat="1" applyFont="1" applyFill="1" applyBorder="1"/>
    <x:xf numFmtId="200" fontId="0" fillId="0" borderId="12" xfId="0" applyNumberFormat="1" applyFont="1" applyFill="1" applyBorder="1"/>
    <x:xf numFmtId="202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3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aac11fd294075" /><Relationship Type="http://schemas.openxmlformats.org/officeDocument/2006/relationships/theme" Target="/xl/theme/theme1.xml" Id="Rc8234ddbe403494f" /><Relationship Type="http://schemas.openxmlformats.org/officeDocument/2006/relationships/sharedStrings" Target="/xl/sharedStrings.xml" Id="R27183118b8f045f4" /><Relationship Type="http://schemas.openxmlformats.org/officeDocument/2006/relationships/worksheet" Target="/xl/worksheets/sheet1.xml" Id="R9d943381c5ff4de0" /><Relationship Type="http://schemas.openxmlformats.org/officeDocument/2006/relationships/worksheet" Target="/xl/worksheets/sheet2.xml" Id="Rbee9797a351d4f35" /><Relationship Type="http://schemas.openxmlformats.org/officeDocument/2006/relationships/worksheet" Target="/xl/worksheets/sheet3.xml" Id="R189b44ce32d243db" /><Relationship Type="http://schemas.openxmlformats.org/officeDocument/2006/relationships/worksheet" Target="/xl/worksheets/sheet4.xml" Id="R708abe0d9fb14cd0" /><Relationship Type="http://schemas.openxmlformats.org/officeDocument/2006/relationships/worksheet" Target="/xl/worksheets/sheet5.xml" Id="R4fe14ad184174ec6" /><Relationship Type="http://schemas.openxmlformats.org/officeDocument/2006/relationships/worksheet" Target="/xl/worksheets/sheet6.xml" Id="R3b845f906f584a90" /><Relationship Type="http://schemas.openxmlformats.org/officeDocument/2006/relationships/worksheet" Target="/xl/worksheets/sheet7.xml" Id="R8717c36cd1d047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6" hidden="0" customWidth="1"/>
  </x:cols>
  <x:sheetData>
    <x:row r="1" ht="30" customHeight="1">
      <x:c r="A1" s="2" t="str">
        <x:v>CMDO U7–U8 integrated source data</x:v>
      </x:c>
      <x:c r="B1" s="2"/>
      <x:c r="C1" s="2"/>
      <x:c r="D1" s="2"/>
      <x:c r="E1" s="2"/>
      <x:c r="F1" s="2"/>
      <x:c r="G1" s="2"/>
      <x:c r="H1" s="2"/>
    </x:row>
    <x:row r="3" ht="34" customHeight="1">
      <x:c r="A3" s="14" t="str">
        <x:v>Field</x:v>
      </x:c>
      <x:c r="B3" s="15" t="str">
        <x:v>Description</x:v>
      </x:c>
    </x:row>
    <x:row r="4" ht="34" customHeight="1">
      <x:c r="A4" s="16" t="str">
        <x:v>Purpose</x:v>
      </x:c>
      <x:c r="B4" s="17" t="str">
        <x:v>Source data for revised main Figure 5 and Extended Data Figure 7.</x:v>
      </x:c>
    </x:row>
    <x:row r="5" ht="34" customHeight="1">
      <x:c r="A5" s="16" t="str">
        <x:v>U7 role</x:v>
      </x:c>
      <x:c r="B5" s="17" t="str">
        <x:v>Separately sealed retrospective clinical transition; 16 overlapping clinical strata; balanced class-conditional AUC audits.</x:v>
      </x:c>
    </x:row>
    <x:row r="6" ht="34" customHeight="1">
      <x:c r="A6" s="16" t="str">
        <x:v>U8 role</x:v>
      </x:c>
      <x:c r="B6" s="17" t="str">
        <x:v>Pre-outcome-sealed temporal reserve under natural prevalence and screened-case budgets; primary metric is fixed-threshold accuracy.</x:v>
      </x:c>
    </x:row>
    <x:row r="7" ht="34" customHeight="1">
      <x:c r="A7" s="16" t="str">
        <x:v>U8 execution</x:v>
      </x:c>
      <x:c r="B7" s="17" t="str">
        <x:v>Final outputs are a disclosed post-unseal deterministic reconstruction after a non-analytical MATLAB cell-to-string correction.</x:v>
      </x:c>
    </x:row>
    <x:row r="8" ht="34" customHeight="1">
      <x:c r="A8" s="16" t="str">
        <x:v>Theorem link</x:v>
      </x:c>
      <x:c r="B8" s="17" t="str">
        <x:v>U8 implements the variance-disjoint, confidence-event cap in Theorem S6 / Eq. (S115) blockwise.</x:v>
      </x:c>
    </x:row>
    <x:row r="9" ht="34" customHeight="1">
      <x:c r="A9" s="16" t="str">
        <x:v>Aggregate boundary</x:v>
      </x:c>
      <x:c r="B9" s="17" t="str">
        <x:v>Four-fold aggregate performance is empirical; Theorem S6 is not promoted to an unrestricted aggregate-risk theorem.</x:v>
      </x:c>
    </x:row>
    <x:row r="10" ht="34" customHeight="1">
      <x:c r="A10" s="16" t="str">
        <x:v>Primary U8 result</x:v>
      </x:c>
      <x:c r="B10" s="17" t="str">
        <x:v>Observer MAE 0.018107843 versus direct MAE 0.020136110 (10.0728% reduction); all 12 cycle-budget states improved.</x:v>
      </x:c>
    </x:row>
    <x:row r="11" ht="34" customHeight="1">
      <x:c r="A11" s="18" t="str">
        <x:v>Integrity</x:v>
      </x:c>
      <x:c r="B11" s="19" t="str">
        <x:v>Target-score SHA-256 reproduced exactly; 2,400 frozen witnesses; zero covered-event certificate violations; exact fallback residual 0.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27" t="str">
        <x:v>clinical_stratum</x:v>
      </x:c>
      <x:c r="B1" s="28" t="str">
        <x:v>observer_mae</x:v>
      </x:c>
      <x:c r="C1" s="28" t="str">
        <x:v>direct_mae</x:v>
      </x:c>
      <x:c r="D1" s="28" t="str">
        <x:v>absolute_gain</x:v>
      </x:c>
      <x:c r="E1" s="28" t="str">
        <x:v>mean_weight</x:v>
      </x:c>
      <x:c r="F1" s="29" t="str">
        <x:v>relative_gain</x:v>
      </x:c>
    </x:row>
    <x:row r="2" ht="20" customHeight="1">
      <x:c r="A2" s="40" t="str">
        <x:v>Age 50–69</x:v>
      </x:c>
      <x:c r="B2" s="49" t="n">
        <x:v>0.063942</x:v>
      </x:c>
      <x:c r="C2" s="49" t="n">
        <x:v>0.066498</x:v>
      </x:c>
      <x:c r="D2" s="49" t="n">
        <x:v>0.002556</x:v>
      </x:c>
      <x:c r="E2" s="52" t="n">
        <x:v>0.044827</x:v>
      </x:c>
      <x:c r="F2" s="55" t="n">
        <x:v>0.038437246232969416</x:v>
      </x:c>
    </x:row>
    <x:row r="3" ht="20" customHeight="1">
      <x:c r="A3" s="43" t="str">
        <x:v>Age 70 or older</x:v>
      </x:c>
      <x:c r="B3" s="50" t="n">
        <x:v>0.061037</x:v>
      </x:c>
      <x:c r="C3" s="50" t="n">
        <x:v>0.0637</x:v>
      </x:c>
      <x:c r="D3" s="50" t="n">
        <x:v>0.002663</x:v>
      </x:c>
      <x:c r="E3" s="53" t="n">
        <x:v>0.045461</x:v>
      </x:c>
      <x:c r="F3" s="56" t="n">
        <x:v>0.04180533751962323</x:v>
      </x:c>
    </x:row>
    <x:row r="4" ht="20" customHeight="1">
      <x:c r="A4" s="43" t="str">
        <x:v>Age under 50</x:v>
      </x:c>
      <x:c r="B4" s="50" t="n">
        <x:v>0.063908</x:v>
      </x:c>
      <x:c r="C4" s="50" t="n">
        <x:v>0.065675</x:v>
      </x:c>
      <x:c r="D4" s="50" t="n">
        <x:v>0.001768</x:v>
      </x:c>
      <x:c r="E4" s="53" t="n">
        <x:v>0.032241</x:v>
      </x:c>
      <x:c r="F4" s="56" t="n">
        <x:v>0.026920441568328894</x:v>
      </x:c>
    </x:row>
    <x:row r="5" ht="20" customHeight="1">
      <x:c r="A5" s="43" t="str">
        <x:v>All eligible</x:v>
      </x:c>
      <x:c r="B5" s="50" t="n">
        <x:v>0.062338</x:v>
      </x:c>
      <x:c r="C5" s="50" t="n">
        <x:v>0.065154</x:v>
      </x:c>
      <x:c r="D5" s="50" t="n">
        <x:v>0.002817</x:v>
      </x:c>
      <x:c r="E5" s="53" t="n">
        <x:v>0.047218</x:v>
      </x:c>
      <x:c r="F5" s="56" t="n">
        <x:v>0.043236025416705036</x:v>
      </x:c>
    </x:row>
    <x:row r="6" ht="20" customHeight="1">
      <x:c r="A6" s="43" t="str">
        <x:v>Diagnoses 7 or more</x:v>
      </x:c>
      <x:c r="B6" s="50" t="n">
        <x:v>0.062892</x:v>
      </x:c>
      <x:c r="C6" s="50" t="n">
        <x:v>0.065636</x:v>
      </x:c>
      <x:c r="D6" s="50" t="n">
        <x:v>0.002744</x:v>
      </x:c>
      <x:c r="E6" s="53" t="n">
        <x:v>0.046936</x:v>
      </x:c>
      <x:c r="F6" s="56" t="n">
        <x:v>0.04180632579681882</x:v>
      </x:c>
    </x:row>
    <x:row r="7" ht="20" customHeight="1">
      <x:c r="A7" s="43" t="str">
        <x:v>Diagnoses 6 or fewer</x:v>
      </x:c>
      <x:c r="B7" s="50" t="n">
        <x:v>0.061703</x:v>
      </x:c>
      <x:c r="C7" s="50" t="n">
        <x:v>0.063368</x:v>
      </x:c>
      <x:c r="D7" s="50" t="n">
        <x:v>0.001665</x:v>
      </x:c>
      <x:c r="E7" s="53" t="n">
        <x:v>0.035638</x:v>
      </x:c>
      <x:c r="F7" s="56" t="n">
        <x:v>0.02627509152884737</x:v>
      </x:c>
    </x:row>
    <x:row r="8" ht="20" customHeight="1">
      <x:c r="A8" s="43" t="str">
        <x:v>Female</x:v>
      </x:c>
      <x:c r="B8" s="50" t="n">
        <x:v>0.061664</x:v>
      </x:c>
      <x:c r="C8" s="50" t="n">
        <x:v>0.064369</x:v>
      </x:c>
      <x:c r="D8" s="50" t="n">
        <x:v>0.002705</x:v>
      </x:c>
      <x:c r="E8" s="53" t="n">
        <x:v>0.046597</x:v>
      </x:c>
      <x:c r="F8" s="56" t="n">
        <x:v>0.04202333421367429</x:v>
      </x:c>
    </x:row>
    <x:row r="9" ht="20" customHeight="1">
      <x:c r="A9" s="43" t="str">
        <x:v>Insulin active</x:v>
      </x:c>
      <x:c r="B9" s="50" t="n">
        <x:v>0.060878</x:v>
      </x:c>
      <x:c r="C9" s="50" t="n">
        <x:v>0.063356</x:v>
      </x:c>
      <x:c r="D9" s="50" t="n">
        <x:v>0.002478</x:v>
      </x:c>
      <x:c r="E9" s="53" t="n">
        <x:v>0.044442</x:v>
      </x:c>
      <x:c r="F9" s="56" t="n">
        <x:v>0.0391123176968243</x:v>
      </x:c>
    </x:row>
    <x:row r="10" ht="20" customHeight="1">
      <x:c r="A10" s="43" t="str">
        <x:v>No insulin</x:v>
      </x:c>
      <x:c r="B10" s="50" t="n">
        <x:v>0.060745</x:v>
      </x:c>
      <x:c r="C10" s="50" t="n">
        <x:v>0.062766</x:v>
      </x:c>
      <x:c r="D10" s="50" t="n">
        <x:v>0.002022</x:v>
      </x:c>
      <x:c r="E10" s="53" t="n">
        <x:v>0.039125</x:v>
      </x:c>
      <x:c r="F10" s="56" t="n">
        <x:v>0.03221489341363158</x:v>
      </x:c>
    </x:row>
    <x:row r="11" ht="20" customHeight="1">
      <x:c r="A11" s="43" t="str">
        <x:v>Long stay, 5 days or more</x:v>
      </x:c>
      <x:c r="B11" s="50" t="n">
        <x:v>0.061872</x:v>
      </x:c>
      <x:c r="C11" s="50" t="n">
        <x:v>0.064147</x:v>
      </x:c>
      <x:c r="D11" s="50" t="n">
        <x:v>0.002276</x:v>
      </x:c>
      <x:c r="E11" s="53" t="n">
        <x:v>0.041311</x:v>
      </x:c>
      <x:c r="F11" s="56" t="n">
        <x:v>0.035481004567633714</x:v>
      </x:c>
    </x:row>
    <x:row r="12" ht="20" customHeight="1">
      <x:c r="A12" s="43" t="str">
        <x:v>Male</x:v>
      </x:c>
      <x:c r="B12" s="50" t="n">
        <x:v>0.062211</x:v>
      </x:c>
      <x:c r="C12" s="50" t="n">
        <x:v>0.064853</x:v>
      </x:c>
      <x:c r="D12" s="50" t="n">
        <x:v>0.002642</x:v>
      </x:c>
      <x:c r="E12" s="53" t="n">
        <x:v>0.045996</x:v>
      </x:c>
      <x:c r="F12" s="56" t="n">
        <x:v>0.040738285044639416</x:v>
      </x:c>
    </x:row>
    <x:row r="13" ht="20" customHeight="1">
      <x:c r="A13" s="43" t="str">
        <x:v>Prior utilisation positive</x:v>
      </x:c>
      <x:c r="B13" s="50" t="n">
        <x:v>0.060027</x:v>
      </x:c>
      <x:c r="C13" s="50" t="n">
        <x:v>0.061987</x:v>
      </x:c>
      <x:c r="D13" s="50" t="n">
        <x:v>0.00196</x:v>
      </x:c>
      <x:c r="E13" s="53" t="n">
        <x:v>0.039797</x:v>
      </x:c>
      <x:c r="F13" s="56" t="n">
        <x:v>0.031619533127913914</x:v>
      </x:c>
    </x:row>
    <x:row r="14" ht="20" customHeight="1">
      <x:c r="A14" s="43" t="str">
        <x:v>Prior utilisation zero</x:v>
      </x:c>
      <x:c r="B14" s="50" t="n">
        <x:v>0.06189</x:v>
      </x:c>
      <x:c r="C14" s="50" t="n">
        <x:v>0.064414</x:v>
      </x:c>
      <x:c r="D14" s="50" t="n">
        <x:v>0.002525</x:v>
      </x:c>
      <x:c r="E14" s="53" t="n">
        <x:v>0.044114</x:v>
      </x:c>
      <x:c r="F14" s="56" t="n">
        <x:v>0.039199552892228394</x:v>
      </x:c>
    </x:row>
    <x:row r="15" ht="20" customHeight="1">
      <x:c r="A15" s="43" t="str">
        <x:v>African American</x:v>
      </x:c>
      <x:c r="B15" s="50" t="n">
        <x:v>0.065089</x:v>
      </x:c>
      <x:c r="C15" s="50" t="n">
        <x:v>0.068019</x:v>
      </x:c>
      <x:c r="D15" s="50" t="n">
        <x:v>0.00293</x:v>
      </x:c>
      <x:c r="E15" s="53" t="n">
        <x:v>0.0467</x:v>
      </x:c>
      <x:c r="F15" s="56" t="n">
        <x:v>0.04307619929725518</x:v>
      </x:c>
    </x:row>
    <x:row r="16" ht="20" customHeight="1">
      <x:c r="A16" s="43" t="str">
        <x:v>Caucasian</x:v>
      </x:c>
      <x:c r="B16" s="50" t="n">
        <x:v>0.06392</x:v>
      </x:c>
      <x:c r="C16" s="50" t="n">
        <x:v>0.066667</x:v>
      </x:c>
      <x:c r="D16" s="50" t="n">
        <x:v>0.002747</x:v>
      </x:c>
      <x:c r="E16" s="53" t="n">
        <x:v>0.045622</x:v>
      </x:c>
      <x:c r="F16" s="56" t="n">
        <x:v>0.041204793976030114</x:v>
      </x:c>
    </x:row>
    <x:row r="17" ht="20" customHeight="1">
      <x:c r="A17" s="46" t="str">
        <x:v>Short stay, 4 days or fewer</x:v>
      </x:c>
      <x:c r="B17" s="51" t="n">
        <x:v>0.063384</x:v>
      </x:c>
      <x:c r="C17" s="51" t="n">
        <x:v>0.065691</x:v>
      </x:c>
      <x:c r="D17" s="51" t="n">
        <x:v>0.002307</x:v>
      </x:c>
      <x:c r="E17" s="54" t="n">
        <x:v>0.040756</x:v>
      </x:c>
      <x:c r="F17" s="57" t="n">
        <x:v>0.0351189660684112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7" hidden="0" customWidth="1"/>
    <x:col min="12" max="12" width="17" hidden="0" customWidth="1"/>
    <x:col min="13" max="13" width="15" hidden="0" customWidth="1"/>
    <x:col min="14" max="14" width="14" hidden="0" customWidth="1"/>
  </x:cols>
  <x:sheetData>
    <x:row r="1" ht="34" customHeight="1">
      <x:c r="A1" s="27" t="str">
        <x:v>cycle</x:v>
      </x:c>
      <x:c r="B1" s="28" t="str">
        <x:v>budget</x:v>
      </x:c>
      <x:c r="C1" s="28" t="str">
        <x:v>target_n</x:v>
      </x:c>
      <x:c r="D1" s="28" t="str">
        <x:v>true_accuracy</x:v>
      </x:c>
      <x:c r="E1" s="28" t="str">
        <x:v>direct_mae</x:v>
      </x:c>
      <x:c r="F1" s="28" t="str">
        <x:v>observer_mae</x:v>
      </x:c>
      <x:c r="G1" s="28" t="str">
        <x:v>relative_gain</x:v>
      </x:c>
      <x:c r="H1" s="28" t="str">
        <x:v>regret</x:v>
      </x:c>
      <x:c r="I1" s="28" t="str">
        <x:v>mean_weight</x:v>
      </x:c>
      <x:c r="J1" s="28" t="str">
        <x:v>simultaneous_coverage</x:v>
      </x:c>
      <x:c r="K1" s="28" t="str">
        <x:v>covered_event_certificate_violations</x:v>
      </x:c>
      <x:c r="L1" s="28" t="str">
        <x:v>maximum_fallback_residual</x:v>
      </x:c>
      <x:c r="M1" s="28" t="str">
        <x:v>mean_audit_positive_n</x:v>
      </x:c>
      <x:c r="N1" s="29" t="str">
        <x:v>direct_auc_mae</x:v>
      </x:c>
    </x:row>
    <x:row r="2" ht="20" customHeight="1">
      <x:c r="A2" s="40" t="str">
        <x:v>NHANES_2015_2016</x:v>
      </x:c>
      <x:c r="B2" s="41" t="n">
        <x:v>128</x:v>
      </x:c>
      <x:c r="C2" s="41" t="n">
        <x:v>5201</x:v>
      </x:c>
      <x:c r="D2" s="49" t="n">
        <x:v>0.719669294366468</x:v>
      </x:c>
      <x:c r="E2" s="49" t="n">
        <x:v>0.0297104973803115</x:v>
      </x:c>
      <x:c r="F2" s="49" t="n">
        <x:v>0.0270113292327641</x:v>
      </x:c>
      <x:c r="G2" s="58" t="n">
        <x:v>0.0908489720988667</x:v>
      </x:c>
      <x:c r="H2" s="49" t="n">
        <x:v>-0.00269916814754737</x:v>
      </x:c>
      <x:c r="I2" s="52" t="n">
        <x:v>0.0869954998546682</x:v>
      </x:c>
      <x:c r="J2" s="61" t="n">
        <x:v>0.97</x:v>
      </x:c>
      <x:c r="K2" s="41" t="n">
        <x:v>0</x:v>
      </x:c>
      <x:c r="L2" s="49" t="n">
        <x:v>0</x:v>
      </x:c>
      <x:c r="M2" s="64" t="n">
        <x:v>54.95</x:v>
      </x:c>
      <x:c r="N2" s="67" t="n">
        <x:v>0.0290711845611616</x:v>
      </x:c>
    </x:row>
    <x:row r="3" ht="20" customHeight="1">
      <x:c r="A3" s="43" t="str">
        <x:v>NHANES_2015_2016</x:v>
      </x:c>
      <x:c r="B3" s="44" t="n">
        <x:v>256</x:v>
      </x:c>
      <x:c r="C3" s="44" t="n">
        <x:v>5201</x:v>
      </x:c>
      <x:c r="D3" s="50" t="n">
        <x:v>0.719669294366468</x:v>
      </x:c>
      <x:c r="E3" s="50" t="n">
        <x:v>0.0223724741936647</x:v>
      </x:c>
      <x:c r="F3" s="50" t="n">
        <x:v>0.0197020398559131</x:v>
      </x:c>
      <x:c r="G3" s="59" t="n">
        <x:v>0.119362494940669</x:v>
      </x:c>
      <x:c r="H3" s="50" t="n">
        <x:v>-0.00267043433775155</x:v>
      </x:c>
      <x:c r="I3" s="53" t="n">
        <x:v>0.113700874848123</x:v>
      </x:c>
      <x:c r="J3" s="62" t="n">
        <x:v>0.965</x:v>
      </x:c>
      <x:c r="K3" s="44" t="n">
        <x:v>0</x:v>
      </x:c>
      <x:c r="L3" s="50" t="n">
        <x:v>0</x:v>
      </x:c>
      <x:c r="M3" s="65" t="n">
        <x:v>109.73</x:v>
      </x:c>
      <x:c r="N3" s="68" t="n">
        <x:v>0.020393382409623</x:v>
      </x:c>
    </x:row>
    <x:row r="4" ht="20" customHeight="1">
      <x:c r="A4" s="43" t="str">
        <x:v>NHANES_2015_2016</x:v>
      </x:c>
      <x:c r="B4" s="44" t="n">
        <x:v>512</x:v>
      </x:c>
      <x:c r="C4" s="44" t="n">
        <x:v>5201</x:v>
      </x:c>
      <x:c r="D4" s="50" t="n">
        <x:v>0.719669294366468</x:v>
      </x:c>
      <x:c r="E4" s="50" t="n">
        <x:v>0.0159576039313353</x:v>
      </x:c>
      <x:c r="F4" s="50" t="n">
        <x:v>0.013797770521348</x:v>
      </x:c>
      <x:c r="G4" s="59" t="n">
        <x:v>0.13534822767133</x:v>
      </x:c>
      <x:c r="H4" s="50" t="n">
        <x:v>-0.00215983340998728</x:v>
      </x:c>
      <x:c r="I4" s="53" t="n">
        <x:v>0.133153401606785</x:v>
      </x:c>
      <x:c r="J4" s="62" t="n">
        <x:v>0.975</x:v>
      </x:c>
      <x:c r="K4" s="44" t="n">
        <x:v>0</x:v>
      </x:c>
      <x:c r="L4" s="50" t="n">
        <x:v>0</x:v>
      </x:c>
      <x:c r="M4" s="65" t="n">
        <x:v>219.45</x:v>
      </x:c>
      <x:c r="N4" s="68" t="n">
        <x:v>0.016023231777086</x:v>
      </x:c>
    </x:row>
    <x:row r="5" ht="20" customHeight="1">
      <x:c r="A5" s="43" t="str">
        <x:v>NHANES_2015_2016</x:v>
      </x:c>
      <x:c r="B5" s="44" t="n">
        <x:v>1024</x:v>
      </x:c>
      <x:c r="C5" s="44" t="n">
        <x:v>5201</x:v>
      </x:c>
      <x:c r="D5" s="50" t="n">
        <x:v>0.719669294366468</x:v>
      </x:c>
      <x:c r="E5" s="50" t="n">
        <x:v>0.0113473849304821</x:v>
      </x:c>
      <x:c r="F5" s="50" t="n">
        <x:v>0.00958041385680301</x:v>
      </x:c>
      <x:c r="G5" s="59" t="n">
        <x:v>0.15571614821425</x:v>
      </x:c>
      <x:c r="H5" s="50" t="n">
        <x:v>-0.00176697107367911</x:v>
      </x:c>
      <x:c r="I5" s="53" t="n">
        <x:v>0.148227670936207</x:v>
      </x:c>
      <x:c r="J5" s="62" t="n">
        <x:v>0.965</x:v>
      </x:c>
      <x:c r="K5" s="44" t="n">
        <x:v>0</x:v>
      </x:c>
      <x:c r="L5" s="50" t="n">
        <x:v>0</x:v>
      </x:c>
      <x:c r="M5" s="65" t="n">
        <x:v>436.925</x:v>
      </x:c>
      <x:c r="N5" s="68" t="n">
        <x:v>0.0106422606664665</x:v>
      </x:c>
    </x:row>
    <x:row r="6" ht="20" customHeight="1">
      <x:c r="A6" s="43" t="str">
        <x:v>NHANES_2017_2018</x:v>
      </x:c>
      <x:c r="B6" s="44" t="n">
        <x:v>128</x:v>
      </x:c>
      <x:c r="C6" s="44" t="n">
        <x:v>5018</x:v>
      </x:c>
      <x:c r="D6" s="50" t="n">
        <x:v>0.705460342766042</x:v>
      </x:c>
      <x:c r="E6" s="50" t="n">
        <x:v>0.0345783772170187</x:v>
      </x:c>
      <x:c r="F6" s="50" t="n">
        <x:v>0.0313692361377688</x:v>
      </x:c>
      <x:c r="G6" s="59" t="n">
        <x:v>0.0928077410663013</x:v>
      </x:c>
      <x:c r="H6" s="50" t="n">
        <x:v>-0.00320914107924997</x:v>
      </x:c>
      <x:c r="I6" s="53" t="n">
        <x:v>0.0879896659268942</x:v>
      </x:c>
      <x:c r="J6" s="62" t="n">
        <x:v>0.965</x:v>
      </x:c>
      <x:c r="K6" s="44" t="n">
        <x:v>0</x:v>
      </x:c>
      <x:c r="L6" s="50" t="n">
        <x:v>0</x:v>
      </x:c>
      <x:c r="M6" s="65" t="n">
        <x:v>58.205</x:v>
      </x:c>
      <x:c r="N6" s="68" t="n">
        <x:v>0.0303333052373704</x:v>
      </x:c>
    </x:row>
    <x:row r="7" ht="20" customHeight="1">
      <x:c r="A7" s="43" t="str">
        <x:v>NHANES_2017_2018</x:v>
      </x:c>
      <x:c r="B7" s="44" t="n">
        <x:v>256</x:v>
      </x:c>
      <x:c r="C7" s="44" t="n">
        <x:v>5018</x:v>
      </x:c>
      <x:c r="D7" s="50" t="n">
        <x:v>0.705460342766042</x:v>
      </x:c>
      <x:c r="E7" s="50" t="n">
        <x:v>0.0225076443553209</x:v>
      </x:c>
      <x:c r="F7" s="50" t="n">
        <x:v>0.0198369083289561</x:v>
      </x:c>
      <x:c r="G7" s="59" t="n">
        <x:v>0.118659064636118</x:v>
      </x:c>
      <x:c r="H7" s="50" t="n">
        <x:v>-0.00267073602636478</x:v>
      </x:c>
      <x:c r="I7" s="53" t="n">
        <x:v>0.112236420747721</x:v>
      </x:c>
      <x:c r="J7" s="62" t="n">
        <x:v>0.98</x:v>
      </x:c>
      <x:c r="K7" s="44" t="n">
        <x:v>0</x:v>
      </x:c>
      <x:c r="L7" s="50" t="n">
        <x:v>0</x:v>
      </x:c>
      <x:c r="M7" s="65" t="n">
        <x:v>117.13</x:v>
      </x:c>
      <x:c r="N7" s="68" t="n">
        <x:v>0.0249673382161388</x:v>
      </x:c>
    </x:row>
    <x:row r="8" ht="20" customHeight="1">
      <x:c r="A8" s="43" t="str">
        <x:v>NHANES_2017_2018</x:v>
      </x:c>
      <x:c r="B8" s="44" t="n">
        <x:v>512</x:v>
      </x:c>
      <x:c r="C8" s="44" t="n">
        <x:v>5018</x:v>
      </x:c>
      <x:c r="D8" s="50" t="n">
        <x:v>0.705460342766042</x:v>
      </x:c>
      <x:c r="E8" s="50" t="n">
        <x:v>0.0140217365920187</x:v>
      </x:c>
      <x:c r="F8" s="50" t="n">
        <x:v>0.0125113108771935</x:v>
      </x:c>
      <x:c r="G8" s="59" t="n">
        <x:v>0.107720303038999</x:v>
      </x:c>
      <x:c r="H8" s="50" t="n">
        <x:v>-0.00151042571482527</x:v>
      </x:c>
      <x:c r="I8" s="53" t="n">
        <x:v>0.13348007128784</x:v>
      </x:c>
      <x:c r="J8" s="62" t="n">
        <x:v>0.98</x:v>
      </x:c>
      <x:c r="K8" s="44" t="n">
        <x:v>0</x:v>
      </x:c>
      <x:c r="L8" s="50" t="n">
        <x:v>0</x:v>
      </x:c>
      <x:c r="M8" s="65" t="n">
        <x:v>234.58</x:v>
      </x:c>
      <x:c r="N8" s="68" t="n">
        <x:v>0.0140657029446814</x:v>
      </x:c>
    </x:row>
    <x:row r="9" ht="20" customHeight="1">
      <x:c r="A9" s="43" t="str">
        <x:v>NHANES_2017_2018</x:v>
      </x:c>
      <x:c r="B9" s="44" t="n">
        <x:v>1024</x:v>
      </x:c>
      <x:c r="C9" s="44" t="n">
        <x:v>5018</x:v>
      </x:c>
      <x:c r="D9" s="50" t="n">
        <x:v>0.705460342766042</x:v>
      </x:c>
      <x:c r="E9" s="50" t="n">
        <x:v>0.0100745227337834</x:v>
      </x:c>
      <x:c r="F9" s="50" t="n">
        <x:v>0.00887063271878266</x:v>
      </x:c>
      <x:c r="G9" s="59" t="n">
        <x:v>0.119498466261202</x:v>
      </x:c>
      <x:c r="H9" s="50" t="n">
        <x:v>-0.00120389001500072</x:v>
      </x:c>
      <x:c r="I9" s="53" t="n">
        <x:v>0.136960438293556</x:v>
      </x:c>
      <x:c r="J9" s="62" t="n">
        <x:v>0.97</x:v>
      </x:c>
      <x:c r="K9" s="44" t="n">
        <x:v>0</x:v>
      </x:c>
      <x:c r="L9" s="50" t="n">
        <x:v>0</x:v>
      </x:c>
      <x:c r="M9" s="65" t="n">
        <x:v>467.925</x:v>
      </x:c>
      <x:c r="N9" s="68" t="n">
        <x:v>0.00962759872254111</x:v>
      </x:c>
    </x:row>
    <x:row r="10" ht="20" customHeight="1">
      <x:c r="A10" s="43" t="str">
        <x:v>NHANES_2021_2023</x:v>
      </x:c>
      <x:c r="B10" s="44" t="n">
        <x:v>128</x:v>
      </x:c>
      <x:c r="C10" s="44" t="n">
        <x:v>5767</x:v>
      </x:c>
      <x:c r="D10" s="50" t="n">
        <x:v>0.693428125541876</x:v>
      </x:c>
      <x:c r="E10" s="50" t="n">
        <x:v>0.0325739999674874</x:v>
      </x:c>
      <x:c r="F10" s="50" t="n">
        <x:v>0.0298161090743875</x:v>
      </x:c>
      <x:c r="G10" s="59" t="n">
        <x:v>0.0846654047968501</x:v>
      </x:c>
      <x:c r="H10" s="50" t="n">
        <x:v>-0.00275789089309991</x:v>
      </x:c>
      <x:c r="I10" s="53" t="n">
        <x:v>0.0871764153873167</x:v>
      </x:c>
      <x:c r="J10" s="62" t="n">
        <x:v>0.975</x:v>
      </x:c>
      <x:c r="K10" s="44" t="n">
        <x:v>0</x:v>
      </x:c>
      <x:c r="L10" s="50" t="n">
        <x:v>0</x:v>
      </x:c>
      <x:c r="M10" s="65" t="n">
        <x:v>50.465</x:v>
      </x:c>
      <x:c r="N10" s="68" t="n">
        <x:v>0.0336567793538983</x:v>
      </x:c>
    </x:row>
    <x:row r="11" ht="20" customHeight="1">
      <x:c r="A11" s="43" t="str">
        <x:v>NHANES_2021_2023</x:v>
      </x:c>
      <x:c r="B11" s="44" t="n">
        <x:v>256</x:v>
      </x:c>
      <x:c r="C11" s="44" t="n">
        <x:v>5767</x:v>
      </x:c>
      <x:c r="D11" s="50" t="n">
        <x:v>0.693428125541876</x:v>
      </x:c>
      <x:c r="E11" s="50" t="n">
        <x:v>0.0230023124566499</x:v>
      </x:c>
      <x:c r="F11" s="50" t="n">
        <x:v>0.0210417315695891</x:v>
      </x:c>
      <x:c r="G11" s="59" t="n">
        <x:v>0.0852340776935243</x:v>
      </x:c>
      <x:c r="H11" s="50" t="n">
        <x:v>-0.00196058088706082</x:v>
      </x:c>
      <x:c r="I11" s="53" t="n">
        <x:v>0.111320295839713</x:v>
      </x:c>
      <x:c r="J11" s="62" t="n">
        <x:v>0.965</x:v>
      </x:c>
      <x:c r="K11" s="44" t="n">
        <x:v>0</x:v>
      </x:c>
      <x:c r="L11" s="50" t="n">
        <x:v>0</x:v>
      </x:c>
      <x:c r="M11" s="65" t="n">
        <x:v>102.575</x:v>
      </x:c>
      <x:c r="N11" s="68" t="n">
        <x:v>0.0232637358518972</x:v>
      </x:c>
    </x:row>
    <x:row r="12" ht="20" customHeight="1">
      <x:c r="A12" s="43" t="str">
        <x:v>NHANES_2021_2023</x:v>
      </x:c>
      <x:c r="B12" s="44" t="n">
        <x:v>512</x:v>
      </x:c>
      <x:c r="C12" s="44" t="n">
        <x:v>5767</x:v>
      </x:c>
      <x:c r="D12" s="50" t="n">
        <x:v>0.693428125541876</x:v>
      </x:c>
      <x:c r="E12" s="50" t="n">
        <x:v>0.0141594687445812</x:v>
      </x:c>
      <x:c r="F12" s="50" t="n">
        <x:v>0.0133647447753838</x:v>
      </x:c>
      <x:c r="G12" s="59" t="n">
        <x:v>0.0561266798587745</x:v>
      </x:c>
      <x:c r="H12" s="50" t="n">
        <x:v>-0.000794723969197435</x:v>
      </x:c>
      <x:c r="I12" s="53" t="n">
        <x:v>0.122225706903852</x:v>
      </x:c>
      <x:c r="J12" s="62" t="n">
        <x:v>0.97</x:v>
      </x:c>
      <x:c r="K12" s="44" t="n">
        <x:v>0</x:v>
      </x:c>
      <x:c r="L12" s="50" t="n">
        <x:v>0</x:v>
      </x:c>
      <x:c r="M12" s="65" t="n">
        <x:v>204.495</x:v>
      </x:c>
      <x:c r="N12" s="68" t="n">
        <x:v>0.0135255555810785</x:v>
      </x:c>
    </x:row>
    <x:row r="13" ht="20" customHeight="1">
      <x:c r="A13" s="46" t="str">
        <x:v>NHANES_2021_2023</x:v>
      </x:c>
      <x:c r="B13" s="47" t="n">
        <x:v>1024</x:v>
      </x:c>
      <x:c r="C13" s="47" t="n">
        <x:v>5767</x:v>
      </x:c>
      <x:c r="D13" s="51" t="n">
        <x:v>0.693428125541876</x:v>
      </x:c>
      <x:c r="E13" s="51" t="n">
        <x:v>0.0113272969454439</x:v>
      </x:c>
      <x:c r="F13" s="51" t="n">
        <x:v>0.0103918883196933</x:v>
      </x:c>
      <x:c r="G13" s="60" t="n">
        <x:v>0.0825800391969771</x:v>
      </x:c>
      <x:c r="H13" s="51" t="n">
        <x:v>-0.000935408625750556</x:v>
      </x:c>
      <x:c r="I13" s="54" t="n">
        <x:v>0.123470147680736</x:v>
      </x:c>
      <x:c r="J13" s="63" t="n">
        <x:v>0.94</x:v>
      </x:c>
      <x:c r="K13" s="47" t="n">
        <x:v>0</x:v>
      </x:c>
      <x:c r="L13" s="51" t="n">
        <x:v>0</x:v>
      </x:c>
      <x:c r="M13" s="66" t="n">
        <x:v>406.445</x:v>
      </x:c>
      <x:c r="N13" s="69" t="n">
        <x:v>0.0101911011145701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1" hidden="0" customWidth="1"/>
  </x:cols>
  <x:sheetData>
    <x:row r="1" ht="34" customHeight="1">
      <x:c r="A1" s="27" t="str">
        <x:v>cycle</x:v>
      </x:c>
      <x:c r="B1" s="28" t="str">
        <x:v>n</x:v>
      </x:c>
      <x:c r="C1" s="28" t="str">
        <x:v>positive_n</x:v>
      </x:c>
      <x:c r="D1" s="28" t="str">
        <x:v>negative_n</x:v>
      </x:c>
      <x:c r="E1" s="28" t="str">
        <x:v>prevalence</x:v>
      </x:c>
      <x:c r="F1" s="28" t="str">
        <x:v>true_accuracy</x:v>
      </x:c>
      <x:c r="G1" s="28" t="str">
        <x:v>true_auc</x:v>
      </x:c>
      <x:c r="H1" s="28" t="str">
        <x:v>historical_accuracy_bias</x:v>
      </x:c>
      <x:c r="I1" s="28" t="str">
        <x:v>historical_auc_bias</x:v>
      </x:c>
      <x:c r="J1" s="28" t="str">
        <x:v>direct_mae</x:v>
      </x:c>
      <x:c r="K1" s="28" t="str">
        <x:v>observer_mae</x:v>
      </x:c>
      <x:c r="L1" s="28" t="str">
        <x:v>relative_gain</x:v>
      </x:c>
      <x:c r="M1" s="28" t="str">
        <x:v>mean_weight</x:v>
      </x:c>
      <x:c r="N1" s="29" t="str">
        <x:v>improved</x:v>
      </x:c>
    </x:row>
    <x:row r="2" ht="20" customHeight="1">
      <x:c r="A2" s="40" t="str">
        <x:v>NHANES_2015_2016</x:v>
      </x:c>
      <x:c r="B2" s="70" t="n">
        <x:v>5201</x:v>
      </x:c>
      <x:c r="C2" s="70" t="n">
        <x:v>2222</x:v>
      </x:c>
      <x:c r="D2" s="70" t="n">
        <x:v>2979</x:v>
      </x:c>
      <x:c r="E2" s="52" t="n">
        <x:v>0.42722553355124</x:v>
      </x:c>
      <x:c r="F2" s="49" t="n">
        <x:v>0.719669294366468</x:v>
      </x:c>
      <x:c r="G2" s="49" t="n">
        <x:v>0.803934471997049</x:v>
      </x:c>
      <x:c r="H2" s="49" t="n">
        <x:v>0.000842575069734064</x:v>
      </x:c>
      <x:c r="I2" s="49" t="n">
        <x:v>0.00877958254006239</x:v>
      </x:c>
      <x:c r="J2" s="49" t="n">
        <x:v>0.0198469901089484</x:v>
      </x:c>
      <x:c r="K2" s="49" t="n">
        <x:v>0.0175228883667071</x:v>
      </x:c>
      <x:c r="L2" s="58" t="n">
        <x:v>0.117100967425456</x:v>
      </x:c>
      <x:c r="M2" s="52" t="n">
        <x:v>0.120519361811446</x:v>
      </x:c>
      <x:c r="N2" s="73" t="n">
        <x:v>1</x:v>
      </x:c>
    </x:row>
    <x:row r="3" ht="20" customHeight="1">
      <x:c r="A3" s="43" t="str">
        <x:v>NHANES_2017_2018</x:v>
      </x:c>
      <x:c r="B3" s="71" t="n">
        <x:v>5018</x:v>
      </x:c>
      <x:c r="C3" s="71" t="n">
        <x:v>2296</x:v>
      </x:c>
      <x:c r="D3" s="71" t="n">
        <x:v>2722</x:v>
      </x:c>
      <x:c r="E3" s="53" t="n">
        <x:v>0.457552809884416</x:v>
      </x:c>
      <x:c r="F3" s="50" t="n">
        <x:v>0.705460342766042</x:v>
      </x:c>
      <x:c r="G3" s="50" t="n">
        <x:v>0.784776962522433</x:v>
      </x:c>
      <x:c r="H3" s="50" t="n">
        <x:v>0.0150515266701597</x:v>
      </x:c>
      <x:c r="I3" s="50" t="n">
        <x:v>0.027937092014678</x:v>
      </x:c>
      <x:c r="J3" s="50" t="n">
        <x:v>0.0202955702245354</x:v>
      </x:c>
      <x:c r="K3" s="50" t="n">
        <x:v>0.0181470220156752</x:v>
      </x:c>
      <x:c r="L3" s="59" t="n">
        <x:v>0.10586291417734</x:v>
      </x:c>
      <x:c r="M3" s="53" t="n">
        <x:v>0.117666649064003</x:v>
      </x:c>
      <x:c r="N3" s="74" t="n">
        <x:v>1</x:v>
      </x:c>
    </x:row>
    <x:row r="4" ht="20" customHeight="1">
      <x:c r="A4" s="46" t="str">
        <x:v>NHANES_2021_2023</x:v>
      </x:c>
      <x:c r="B4" s="72" t="n">
        <x:v>5767</x:v>
      </x:c>
      <x:c r="C4" s="72" t="n">
        <x:v>2299</x:v>
      </x:c>
      <x:c r="D4" s="72" t="n">
        <x:v>3468</x:v>
      </x:c>
      <x:c r="E4" s="54" t="n">
        <x:v>0.398647477024449</x:v>
      </x:c>
      <x:c r="F4" s="51" t="n">
        <x:v>0.693428125541876</x:v>
      </x:c>
      <x:c r="G4" s="51" t="n">
        <x:v>0.784628164394228</x:v>
      </x:c>
      <x:c r="H4" s="51" t="n">
        <x:v>0.0270837438943259</x:v>
      </x:c>
      <x:c r="I4" s="51" t="n">
        <x:v>0.0280858901428831</x:v>
      </x:c>
      <x:c r="J4" s="51" t="n">
        <x:v>0.0202657695285406</x:v>
      </x:c>
      <x:c r="K4" s="51" t="n">
        <x:v>0.0186536184347634</x:v>
      </x:c>
      <x:c r="L4" s="60" t="n">
        <x:v>0.0795504504039071</x:v>
      </x:c>
      <x:c r="M4" s="54" t="n">
        <x:v>0.111048141452905</x:v>
      </x:c>
      <x:c r="N4" s="7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4" hidden="0" customWidth="1"/>
    <x:col min="4" max="4" width="11" hidden="0" customWidth="1"/>
  </x:cols>
  <x:sheetData>
    <x:row r="1" ht="34" customHeight="1">
      <x:c r="A1" s="27" t="str">
        <x:v>gate</x:v>
      </x:c>
      <x:c r="B1" s="28" t="str">
        <x:v>threshold</x:v>
      </x:c>
      <x:c r="C1" s="28" t="str">
        <x:v>observed</x:v>
      </x:c>
      <x:c r="D1" s="29" t="str">
        <x:v>passed</x:v>
      </x:c>
    </x:row>
    <x:row r="2" ht="20" customHeight="1">
      <x:c r="A2" s="40" t="str">
        <x:v>three_temporal_reserve_cycles</x:v>
      </x:c>
      <x:c r="B2" s="41" t="str">
        <x:v>&gt;=3</x:v>
      </x:c>
      <x:c r="C2" s="41" t="n">
        <x:v>3</x:v>
      </x:c>
      <x:c r="D2" s="42" t="n">
        <x:v>1</x:v>
      </x:c>
    </x:row>
    <x:row r="3" ht="20" customHeight="1">
      <x:c r="A3" s="43" t="str">
        <x:v>exact_full_direct_fallback</x:v>
      </x:c>
      <x:c r="B3" s="44" t="str">
        <x:v>&lt;1e-12</x:v>
      </x:c>
      <x:c r="C3" s="44" t="n">
        <x:v>0</x:v>
      </x:c>
      <x:c r="D3" s="45" t="n">
        <x:v>1</x:v>
      </x:c>
    </x:row>
    <x:row r="4" ht="20" customHeight="1">
      <x:c r="A4" s="43" t="str">
        <x:v>covered_event_certificate_violations</x:v>
      </x:c>
      <x:c r="B4" s="44" t="str">
        <x:v>=0</x:v>
      </x:c>
      <x:c r="C4" s="44" t="n">
        <x:v>0</x:v>
      </x:c>
      <x:c r="D4" s="45" t="n">
        <x:v>1</x:v>
      </x:c>
    </x:row>
    <x:row r="5" ht="20" customHeight="1">
      <x:c r="A5" s="43" t="str">
        <x:v>mean_simultaneous_coverage</x:v>
      </x:c>
      <x:c r="B5" s="44" t="str">
        <x:v>&gt;=0.90</x:v>
      </x:c>
      <x:c r="C5" s="44" t="n">
        <x:v>0.968333333333</x:v>
      </x:c>
      <x:c r="D5" s="45" t="n">
        <x:v>1</x:v>
      </x:c>
    </x:row>
    <x:row r="6" ht="20" customHeight="1">
      <x:c r="A6" s="43" t="str">
        <x:v>minimum_state_simultaneous_coverage</x:v>
      </x:c>
      <x:c r="B6" s="44" t="str">
        <x:v>&gt;=0.85</x:v>
      </x:c>
      <x:c r="C6" s="44" t="n">
        <x:v>0.94</x:v>
      </x:c>
      <x:c r="D6" s="45" t="n">
        <x:v>1</x:v>
      </x:c>
    </x:row>
    <x:row r="7" ht="20" customHeight="1">
      <x:c r="A7" s="43" t="str">
        <x:v>pooled_observer_noninferiority</x:v>
      </x:c>
      <x:c r="B7" s="44" t="str">
        <x:v>observer MAE &lt;= direct MAE</x:v>
      </x:c>
      <x:c r="C7" s="44" t="n">
        <x:v>-0.00202826701496</x:v>
      </x:c>
      <x:c r="D7" s="45" t="n">
        <x:v>1</x:v>
      </x:c>
    </x:row>
    <x:row r="8" ht="20" customHeight="1">
      <x:c r="A8" s="43" t="str">
        <x:v>worst_state_regret</x:v>
      </x:c>
      <x:c r="B8" s="44" t="str">
        <x:v>&lt;=0.005</x:v>
      </x:c>
      <x:c r="C8" s="44" t="n">
        <x:v>-0.000794723969197</x:v>
      </x:c>
      <x:c r="D8" s="45" t="n">
        <x:v>1</x:v>
      </x:c>
    </x:row>
    <x:row r="9" ht="20" customHeight="1">
      <x:c r="A9" s="43" t="str">
        <x:v>improved_reserve_cycles</x:v>
      </x:c>
      <x:c r="B9" s="44" t="str">
        <x:v>&gt;=2/3</x:v>
      </x:c>
      <x:c r="C9" s="44" t="n">
        <x:v>3</x:v>
      </x:c>
      <x:c r="D9" s="45" t="n">
        <x:v>1</x:v>
      </x:c>
    </x:row>
    <x:row r="10" ht="20" customHeight="1">
      <x:c r="A10" s="43" t="str">
        <x:v>nontrivial_borrowing</x:v>
      </x:c>
      <x:c r="B10" s="44" t="str">
        <x:v>mean weight &gt;0</x:v>
      </x:c>
      <x:c r="C10" s="44" t="n">
        <x:v>0.116411384109</x:v>
      </x:c>
      <x:c r="D10" s="45" t="n">
        <x:v>1</x:v>
      </x:c>
    </x:row>
    <x:row r="11" ht="20" customHeight="1">
      <x:c r="A11" s="46" t="str">
        <x:v>direct_root_budget_slope</x:v>
      </x:c>
      <x:c r="B11" s="47" t="str">
        <x:v>[-0.70,-0.30]</x:v>
      </x:c>
      <x:c r="C11" s="47" t="n">
        <x:v>-0.531444237112</x:v>
      </x:c>
      <x:c r="D11" s="48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1" hidden="0" customWidth="1"/>
    <x:col min="3" max="3" width="48" hidden="0" customWidth="1"/>
    <x:col min="4" max="4" width="20" hidden="0" customWidth="1"/>
  </x:cols>
  <x:sheetData>
    <x:row r="1" ht="30" customHeight="1">
      <x:c r="A1" s="90" t="str">
        <x:v>Headline quantities for manuscript and figure cross-checking</x:v>
      </x:c>
      <x:c r="B1" s="90"/>
      <x:c r="C1" s="90"/>
      <x:c r="D1" s="90"/>
      <x:c r="E1" s="76"/>
      <x:c r="F1" s="76"/>
      <x:c r="G1" s="76"/>
      <x:c r="H1" s="76"/>
    </x:row>
    <x:row r="2">
      <x:c r="A2" s="91"/>
      <x:c r="B2" s="91"/>
      <x:c r="C2" s="91"/>
      <x:c r="D2" s="91"/>
    </x:row>
    <x:row r="3">
      <x:c r="A3" s="14" t="str">
        <x:v>Evaluation</x:v>
      </x:c>
      <x:c r="B3" s="92" t="str">
        <x:v>Observer MAE</x:v>
      </x:c>
      <x:c r="C3" s="92" t="str">
        <x:v>Direct MAE</x:v>
      </x:c>
      <x:c r="D3" s="15" t="str">
        <x:v>Relative reduction</x:v>
      </x:c>
    </x:row>
    <x:row r="4">
      <x:c r="A4" s="93" t="str">
        <x:v>U7 clinical AUC</x:v>
      </x:c>
      <x:c r="B4" s="94" t="n">
        <x:f>AVERAGE('U7_Strata'!B2:B17)</x:f>
        <x:v>0.062343749999999996</x:v>
      </x:c>
      <x:c r="C4" s="94" t="n">
        <x:f>AVERAGE('U7_Strata'!C2:C17)</x:f>
        <x:v>0.06476875</x:v>
      </x:c>
      <x:c r="D4" s="95" t="n">
        <x:f>(C4-B4)/C4</x:f>
        <x:v>0.037440895493582996</x:v>
      </x:c>
    </x:row>
    <x:row r="5">
      <x:c r="A5" s="96" t="str">
        <x:v>U8 natural-prevalence accuracy</x:v>
      </x:c>
      <x:c r="B5" s="97" t="n">
        <x:f>AVERAGE('U8_State'!F2:F13)</x:f>
        <x:v>0.01810784293904858</x:v>
      </x:c>
      <x:c r="C5" s="97" t="n">
        <x:f>AVERAGE('U8_State'!E2:E13)</x:f>
        <x:v>0.020136109954008146</x:v>
      </x:c>
      <x:c r="D5" s="98" t="n">
        <x:f>(C5-B5)/C5</x:f>
        <x:v>0.10072784761268316</x:v>
      </x:c>
    </x:row>
    <x:row r="6">
      <x:c r="A6" s="91"/>
      <x:c r="B6" s="91"/>
      <x:c r="C6" s="91"/>
      <x:c r="D6" s="91"/>
    </x:row>
    <x:row r="7">
      <x:c r="A7" s="91"/>
      <x:c r="B7" s="91"/>
      <x:c r="C7" s="91"/>
      <x:c r="D7" s="91"/>
    </x:row>
    <x:row r="8">
      <x:c r="A8" s="14" t="str">
        <x:v>U8 validation quantity</x:v>
      </x:c>
      <x:c r="B8" s="92" t="str">
        <x:v>Formula/result</x:v>
      </x:c>
      <x:c r="C8" s="15" t="str">
        <x:v>Acceptance interpretation</x:v>
      </x:c>
      <x:c r="D8" s="91"/>
    </x:row>
    <x:row r="9">
      <x:c r="A9" s="93" t="str">
        <x:v>Improved cycle-budget states</x:v>
      </x:c>
      <x:c r="B9" s="99" t="n">
        <x:f>COUNTIF('U8_State'!G2:G13,"&gt;0")</x:f>
        <x:v>12</x:v>
      </x:c>
      <x:c r="C9" s="17" t="str">
        <x:v>12/12 required for the reported all-state result</x:v>
      </x:c>
      <x:c r="D9" s="91"/>
    </x:row>
    <x:row r="10">
      <x:c r="A10" s="93" t="str">
        <x:v>Improved reserve cycles</x:v>
      </x:c>
      <x:c r="B10" s="99" t="n">
        <x:f>SUM('U8_Cycles'!N2:N4)</x:f>
        <x:v>3</x:v>
      </x:c>
      <x:c r="C10" s="17" t="str">
        <x:v>At least 2/3 frozen gate</x:v>
      </x:c>
      <x:c r="D10" s="91"/>
    </x:row>
    <x:row r="11">
      <x:c r="A11" s="93" t="str">
        <x:v>Mean simultaneous coverage</x:v>
      </x:c>
      <x:c r="B11" s="100" t="n">
        <x:f>AVERAGE('U8_State'!J2:J13)</x:f>
        <x:v>0.9683333333333334</x:v>
      </x:c>
      <x:c r="C11" s="17" t="str">
        <x:v>At least 0.90 frozen gate</x:v>
      </x:c>
      <x:c r="D11" s="91"/>
    </x:row>
    <x:row r="12">
      <x:c r="A12" s="93" t="str">
        <x:v>Minimum simultaneous coverage</x:v>
      </x:c>
      <x:c r="B12" s="100" t="n">
        <x:f>MIN('U8_State'!J2:J13)</x:f>
        <x:v>0.94</x:v>
      </x:c>
      <x:c r="C12" s="17" t="str">
        <x:v>At least 0.85 frozen gate</x:v>
      </x:c>
      <x:c r="D12" s="91"/>
    </x:row>
    <x:row r="13">
      <x:c r="A13" s="93" t="str">
        <x:v>Covered-event certificate violations</x:v>
      </x:c>
      <x:c r="B13" s="99" t="n">
        <x:f>SUM('U8_State'!K2:K13)</x:f>
        <x:v>0</x:v>
      </x:c>
      <x:c r="C13" s="17" t="str">
        <x:v>Must equal zero</x:v>
      </x:c>
      <x:c r="D13" s="91"/>
    </x:row>
    <x:row r="14">
      <x:c r="A14" s="93" t="str">
        <x:v>Maximum fallback residual</x:v>
      </x:c>
      <x:c r="B14" s="94" t="n">
        <x:f>MAX('U8_State'!L2:L13)</x:f>
        <x:v>0</x:v>
      </x:c>
      <x:c r="C14" s="17" t="str">
        <x:v>Must be below 1e-12</x:v>
      </x:c>
      <x:c r="D14" s="91"/>
    </x:row>
    <x:row r="15">
      <x:c r="A15" s="93" t="str">
        <x:v>Worst state regret</x:v>
      </x:c>
      <x:c r="B15" s="94" t="n">
        <x:f>MAX('U8_State'!H2:H13)</x:f>
        <x:v>-0.000794723969197435</x:v>
      </x:c>
      <x:c r="C15" s="17" t="str">
        <x:v>Must be no greater than 0.005</x:v>
      </x:c>
      <x:c r="D15" s="91"/>
    </x:row>
    <x:row r="16">
      <x:c r="A16" s="96" t="str">
        <x:v>Mean transport weight</x:v>
      </x:c>
      <x:c r="B16" s="101" t="n">
        <x:f>AVERAGE('U8_State'!I2:I13)</x:f>
        <x:v>0.11641138410945101</x:v>
      </x:c>
      <x:c r="C16" s="19" t="str">
        <x:v>Must be positive</x:v>
      </x:c>
      <x:c r="D16" s="91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6" hidden="0" customWidth="1"/>
    <x:col min="3" max="3" width="58" hidden="0" customWidth="1"/>
    <x:col min="4" max="4" width="68" hidden="0" customWidth="1"/>
    <x:col min="5" max="5" width="20" hidden="0" customWidth="1"/>
    <x:col min="6" max="6" width="38" hidden="0" customWidth="1"/>
  </x:cols>
  <x:sheetData>
    <x:row r="1">
      <x:c r="A1" s="102" t="str">
        <x:v>Artifact</x:v>
      </x:c>
      <x:c r="B1" s="102" t="str">
        <x:v>Role</x:v>
      </x:c>
      <x:c r="C1" s="102" t="str">
        <x:v>SHA-256</x:v>
      </x:c>
      <x:c r="D1" s="102" t="str">
        <x:v>Drive / source URL</x:v>
      </x:c>
      <x:c r="E1" s="102" t="str">
        <x:v>Status</x:v>
      </x:c>
      <x:c r="F1" s="102" t="str">
        <x:v>Notes</x:v>
      </x:c>
    </x:row>
    <x:row r="2">
      <x:c r="A2" s="114" t="str">
        <x:v>StageU8_Canonical_Records_v1_1_0.zip</x:v>
      </x:c>
      <x:c r="B2" s="115" t="str">
        <x:v>Canonical U8 archive</x:v>
      </x:c>
      <x:c r="C2" s="115" t="str">
        <x:v>761d6f0720b204ddd15a0a811bf3868d9ab28005f989aea955887c52678de0ce</x:v>
      </x:c>
      <x:c r="D2" s="115" t="str">
        <x:v>To be archived in the integrated Drive folder</x:v>
      </x:c>
      <x:c r="E2" s="115" t="str">
        <x:v>Authoritative</x:v>
      </x:c>
      <x:c r="F2" s="116" t="str">
        <x:v>32 canonical items; 2,400 witnesses</x:v>
      </x:c>
    </x:row>
    <x:row r="3">
      <x:c r="A3" s="117" t="str">
        <x:v>StageU8_Complete_v1_1_0.json</x:v>
      </x:c>
      <x:c r="B3" s="118" t="str">
        <x:v>Final U8 record</x:v>
      </x:c>
      <x:c r="C3" s="118" t="str">
        <x:v>b642fdb275343ea603a0aa9f1e5c2be94bf290ee3d3a9726d163e1cccd170474</x:v>
      </x:c>
      <x:c r="D3" s="118" t="str">
        <x:v>To be archived in the integrated Drive folder</x:v>
      </x:c>
      <x:c r="E3" s="118" t="str">
        <x:v>Authoritative</x:v>
      </x:c>
      <x:c r="F3" s="119" t="str">
        <x:v>Matches console final-record hash</x:v>
      </x:c>
    </x:row>
    <x:row r="4">
      <x:c r="A4" s="117" t="str">
        <x:v>StageU8_PreOutcome_Seal_v1_0.json</x:v>
      </x:c>
      <x:c r="B4" s="118" t="str">
        <x:v>Original pre-outcome seal</x:v>
      </x:c>
      <x:c r="C4" s="118" t="str">
        <x:v>5b6cab9bddd614b610a3acf5e69af0e1c304f14c4f38c55b62808be3835579cf</x:v>
      </x:c>
      <x:c r="D4" s="118" t="str">
        <x:v>To be archived in the integrated Drive folder</x:v>
      </x:c>
      <x:c r="E4" s="118" t="str">
        <x:v>Authoritative</x:v>
      </x:c>
      <x:c r="F4" s="119" t="str">
        <x:v>Original blind seal retained</x:v>
      </x:c>
    </x:row>
    <x:row r="5">
      <x:c r="A5" s="117" t="str">
        <x:v>U7 clinical source table</x:v>
      </x:c>
      <x:c r="B5" s="118" t="str">
        <x:v>Main Figure 5 panel a</x:v>
      </x:c>
      <x:c r="C5" s="118" t="str">
        <x:v>Extracted from Supplementary Table 2</x:v>
      </x:c>
      <x:c r="D5" s="118" t="str">
        <x:v>CMDO_Supplementary_Information_CrossReferenced_2026-08-09.docx</x:v>
      </x:c>
      <x:c r="E5" s="118" t="str">
        <x:v>Authoritative</x:v>
      </x:c>
      <x:c r="F5" s="119" t="str">
        <x:v>16 overlapping strata; target-level MAEs</x:v>
      </x:c>
    </x:row>
    <x:row r="6">
      <x:c r="A6" s="117" t="str">
        <x:v>NHANES official data</x:v>
      </x:c>
      <x:c r="B6" s="118" t="str">
        <x:v>U8 source and temporal reserves</x:v>
      </x:c>
      <x:c r="C6" s="118" t="str">
        <x:v>Official XPT hashes retained in canonical manifest</x:v>
      </x:c>
      <x:c r="D6" s="118" t="str">
        <x:v>https://wwwn.cdc.gov/nchs/nhanes/continuousnhanes/default.aspx</x:v>
      </x:c>
      <x:c r="E6" s="118" t="str">
        <x:v>Third-party source</x:v>
      </x:c>
      <x:c r="F6" s="119" t="str">
        <x:v>Original third-party XPT files are not redistributed</x:v>
      </x:c>
    </x:row>
    <x:row r="7">
      <x:c r="A7" s="117" t="str">
        <x:v>GHB_I</x:v>
      </x:c>
      <x:c r="B7" s="118" t="str">
        <x:v>2015–2016 HbA1c outcome</x:v>
      </x:c>
      <x:c r="C7" s="118" t="str">
        <x:v>e4bc626cd12f6057c7806aef4f85874c9bf1407a7480d6621a4af142260addd2</x:v>
      </x:c>
      <x:c r="D7" s="118" t="str">
        <x:v>https://wwwn.cdc.gov/Nchs/Data/Nhanes/Public/2015/DataFiles/GHB_I.htm</x:v>
      </x:c>
      <x:c r="E7" s="118" t="str">
        <x:v>Third-party source</x:v>
      </x:c>
      <x:c r="F7" s="119" t="str">
        <x:v>Outcome accessed after seal authorization</x:v>
      </x:c>
    </x:row>
    <x:row r="8">
      <x:c r="A8" s="117" t="str">
        <x:v>GHB_J</x:v>
      </x:c>
      <x:c r="B8" s="118" t="str">
        <x:v>2017–2018 HbA1c outcome</x:v>
      </x:c>
      <x:c r="C8" s="118" t="str">
        <x:v>35f07094573a0061a03ed609a5a363b34eb1b1c7065d1623b43d72e132a8a654</x:v>
      </x:c>
      <x:c r="D8" s="118" t="str">
        <x:v>https://wwwn.cdc.gov/Nchs/Data/Nhanes/Public/2017/DataFiles/GHB_J.htm</x:v>
      </x:c>
      <x:c r="E8" s="118" t="str">
        <x:v>Third-party source</x:v>
      </x:c>
      <x:c r="F8" s="119" t="str">
        <x:v>Outcome accessed after seal authorization</x:v>
      </x:c>
    </x:row>
    <x:row r="9">
      <x:c r="A9" s="117" t="str">
        <x:v>GHB_L</x:v>
      </x:c>
      <x:c r="B9" s="118" t="str">
        <x:v>2021–2023 HbA1c outcome</x:v>
      </x:c>
      <x:c r="C9" s="118" t="str">
        <x:v>67aee0353160e2392dc0a33bece99b90764a630c76d82415ac4639105ad9dd03</x:v>
      </x:c>
      <x:c r="D9" s="118" t="str">
        <x:v>https://wwwn.cdc.gov/Nchs/Data/Nhanes/Public/2021/DataFiles/GHB_L.htm</x:v>
      </x:c>
      <x:c r="E9" s="118" t="str">
        <x:v>Third-party source</x:v>
      </x:c>
      <x:c r="F9" s="119" t="str">
        <x:v>Temporal and protocol shift reserve</x:v>
      </x:c>
    </x:row>
    <x:row r="10">
      <x:c r="A10" s="120" t="str">
        <x:v>StageU8_Report_v1_1_0.md</x:v>
      </x:c>
      <x:c r="B10" s="121" t="str">
        <x:v>Human-readable U8 report</x:v>
      </x:c>
      <x:c r="C10" s="121" t="str">
        <x:v>Recorded in durable manifest</x:v>
      </x:c>
      <x:c r="D10" s="121" t="str">
        <x:v>Contained in canonical ZIP</x:v>
      </x:c>
      <x:c r="E10" s="121" t="str">
        <x:v>Authoritative</x:v>
      </x:c>
      <x:c r="F10" s="122" t="str">
        <x:v>Disclosed post-unseal deterministic reconstruction</x:v>
      </x:c>
    </x:row>
  </x:sheetData>
  <x:pageMargins left="0.7" right="0.7" top="0.75" bottom="0.75" header="0.3" footer="0.3"/>
</x:worksheet>
</file>